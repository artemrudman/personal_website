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EB48C8E0-EA6F-47E7-A357-5CCF669BC5AC}" xr6:coauthVersionLast="47" xr6:coauthVersionMax="47" xr10:uidLastSave="{00000000-0000-0000-0000-000000000000}"/>
  <bookViews>
    <workbookView xWindow="3036" yWindow="3036" windowWidth="17280" windowHeight="8880" xr2:uid="{00000000-000D-0000-FFFF-FFFF00000000}"/>
  </bookViews>
  <sheets>
    <sheet name="Self-Employ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2PgkTvwDlWQk477f1RYMDLDy8pIBsa/I9bpJz0xQTTc="/>
    </ext>
  </extLst>
</workbook>
</file>

<file path=xl/calcChain.xml><?xml version="1.0" encoding="utf-8"?>
<calcChain xmlns="http://schemas.openxmlformats.org/spreadsheetml/2006/main">
  <c r="V22" i="1" l="1"/>
  <c r="V24" i="1" s="1"/>
  <c r="Z22" i="1"/>
  <c r="Z24" i="1" s="1"/>
  <c r="Y22" i="1"/>
  <c r="Y24" i="1" s="1"/>
  <c r="X22" i="1"/>
  <c r="X24" i="1" s="1"/>
  <c r="W22" i="1"/>
  <c r="W24" i="1" s="1"/>
  <c r="Q22" i="1"/>
  <c r="Q24" i="1" s="1"/>
  <c r="P22" i="1"/>
  <c r="P24" i="1" s="1"/>
  <c r="O22" i="1"/>
  <c r="O24" i="1" s="1"/>
  <c r="N22" i="1"/>
  <c r="N24" i="1" s="1"/>
  <c r="M22" i="1"/>
  <c r="M24" i="1" s="1"/>
  <c r="L22" i="1"/>
  <c r="L24" i="1" s="1"/>
  <c r="K22" i="1"/>
  <c r="K24" i="1" s="1"/>
  <c r="J22" i="1"/>
  <c r="J2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V9" authorId="0" shapeId="0" xr:uid="{00000000-0006-0000-0000-000001000000}">
      <text>
        <r>
          <rPr>
            <sz val="11"/>
            <color theme="1"/>
            <rFont val="Calibri"/>
            <family val="2"/>
            <charset val="204"/>
            <scheme val="minor"/>
          </rPr>
          <t>======
ID#AAABiI7-yA0
Bubnova, Maria    (2025-04-18 03:56:14)
У вас должны быть бумажные чеки на всё топливо</t>
        </r>
      </text>
    </comment>
    <comment ref="Y9" authorId="0" shapeId="0" xr:uid="{00000000-0006-0000-0000-000002000000}">
      <text>
        <r>
          <rPr>
            <sz val="11"/>
            <color theme="1"/>
            <rFont val="Calibri"/>
            <family val="2"/>
            <charset val="204"/>
            <scheme val="minor"/>
          </rPr>
          <t>======
ID#AAABiI7-yA4
Bubnova, Maria    (2025-04-18 03:56:14)
Должны быть чеки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ueo3gh6dQHN8UyWA6G6hTDwIkfQ=="/>
    </ext>
  </extLst>
</comments>
</file>

<file path=xl/sharedStrings.xml><?xml version="1.0" encoding="utf-8"?>
<sst xmlns="http://schemas.openxmlformats.org/spreadsheetml/2006/main" count="121" uniqueCount="63">
  <si>
    <t>Type of activity</t>
  </si>
  <si>
    <t>Was part of the house used as an office?</t>
  </si>
  <si>
    <t>Business name</t>
  </si>
  <si>
    <t>Did you use your personal car for work?</t>
  </si>
  <si>
    <t>*if you have not opened a sole proprietorship, write your name</t>
  </si>
  <si>
    <t>Motor vehicle expenses</t>
  </si>
  <si>
    <t>Revenue for 2025</t>
  </si>
  <si>
    <t>What % of the house was used as an office?</t>
  </si>
  <si>
    <t>What % of time did you use vehicle for work?</t>
  </si>
  <si>
    <t>Expenses for 2025:</t>
  </si>
  <si>
    <t>Home office</t>
  </si>
  <si>
    <t>Did you keep autologs where you recorded your business trips?</t>
  </si>
  <si>
    <t>Advertising</t>
  </si>
  <si>
    <t>Rent</t>
  </si>
  <si>
    <t>Electricity</t>
  </si>
  <si>
    <t>Heat</t>
  </si>
  <si>
    <t>Insurance</t>
  </si>
  <si>
    <t>Maintenance</t>
  </si>
  <si>
    <t>Home WIFI</t>
  </si>
  <si>
    <t>Property taxes</t>
  </si>
  <si>
    <t>Mortgage interest</t>
  </si>
  <si>
    <t>Fuel</t>
  </si>
  <si>
    <t>Parking</t>
  </si>
  <si>
    <t>Vehicle R&amp;M</t>
  </si>
  <si>
    <t>Lease Pmt</t>
  </si>
  <si>
    <t>*lease only, not a loan for your own car</t>
  </si>
  <si>
    <t>Meals and entertainment</t>
  </si>
  <si>
    <t>January</t>
  </si>
  <si>
    <t>Bad debts</t>
  </si>
  <si>
    <t>February</t>
  </si>
  <si>
    <t>March</t>
  </si>
  <si>
    <t>Interest and bank charges</t>
  </si>
  <si>
    <t>April</t>
  </si>
  <si>
    <t>Business taxes, licences and memberships</t>
  </si>
  <si>
    <t>May</t>
  </si>
  <si>
    <t>Office expenses</t>
  </si>
  <si>
    <t>June</t>
  </si>
  <si>
    <t>Office stationery and supplies</t>
  </si>
  <si>
    <t>July</t>
  </si>
  <si>
    <t>Professional fees (includes legal and accounting fees)</t>
  </si>
  <si>
    <t>August</t>
  </si>
  <si>
    <t>Management and administration fees</t>
  </si>
  <si>
    <t>September</t>
  </si>
  <si>
    <t>October</t>
  </si>
  <si>
    <t>Repairs and maintenance</t>
  </si>
  <si>
    <t>November</t>
  </si>
  <si>
    <t>Salaries, wages and benefits</t>
  </si>
  <si>
    <t>December</t>
  </si>
  <si>
    <t>Travel expenses</t>
  </si>
  <si>
    <t>Total</t>
  </si>
  <si>
    <t>Delivery, freight and express</t>
  </si>
  <si>
    <t>Other expenses (specify):</t>
  </si>
  <si>
    <t>For work space</t>
  </si>
  <si>
    <t>For business</t>
  </si>
  <si>
    <t>Table 2</t>
  </si>
  <si>
    <t>Table 3</t>
  </si>
  <si>
    <t>Table 1</t>
  </si>
  <si>
    <t>-boxes to fill</t>
  </si>
  <si>
    <t>Uber Driver</t>
  </si>
  <si>
    <t>Uber</t>
  </si>
  <si>
    <t>-</t>
  </si>
  <si>
    <t>Yes</t>
  </si>
  <si>
    <t>Bell Mobility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</si>
</sst>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8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rgb="FF333333"/>
      <name val="Calibri"/>
      <family val="2"/>
      <charset val="204"/>
    </font>
    <font>
      <sz val="11"/>
      <color rgb="FF1F1F1F"/>
      <name val="Calibri"/>
      <family val="2"/>
      <charset val="204"/>
    </font>
    <font>
      <sz val="11"/>
      <color rgb="FFFF0000"/>
      <name val="Calibri"/>
      <family val="2"/>
      <charset val="204"/>
    </font>
    <font>
      <sz val="8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vertical="top"/>
    </xf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6" fillId="0" borderId="0" xfId="0" applyFont="1"/>
    <xf numFmtId="164" fontId="5" fillId="2" borderId="7" xfId="0" applyNumberFormat="1" applyFont="1" applyFill="1" applyBorder="1"/>
    <xf numFmtId="0" fontId="5" fillId="0" borderId="8" xfId="0" applyFont="1" applyBorder="1"/>
    <xf numFmtId="0" fontId="1" fillId="0" borderId="6" xfId="0" applyFont="1" applyBorder="1"/>
    <xf numFmtId="0" fontId="1" fillId="0" borderId="8" xfId="0" applyFont="1" applyBorder="1"/>
    <xf numFmtId="9" fontId="5" fillId="0" borderId="0" xfId="0" applyNumberFormat="1" applyFont="1"/>
    <xf numFmtId="9" fontId="5" fillId="2" borderId="9" xfId="0" applyNumberFormat="1" applyFont="1" applyFill="1" applyBorder="1"/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5" fillId="2" borderId="9" xfId="0" applyFont="1" applyFill="1" applyBorder="1"/>
    <xf numFmtId="0" fontId="5" fillId="0" borderId="0" xfId="0" applyFont="1"/>
    <xf numFmtId="0" fontId="3" fillId="3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8" xfId="0" applyFont="1" applyBorder="1" applyAlignment="1">
      <alignment wrapText="1"/>
    </xf>
    <xf numFmtId="0" fontId="5" fillId="0" borderId="0" xfId="0" applyFont="1" applyAlignment="1">
      <alignment horizontal="center" vertical="center" wrapText="1"/>
    </xf>
    <xf numFmtId="0" fontId="5" fillId="2" borderId="7" xfId="0" applyFont="1" applyFill="1" applyBorder="1" applyAlignment="1">
      <alignment horizontal="right" wrapText="1"/>
    </xf>
    <xf numFmtId="0" fontId="7" fillId="2" borderId="7" xfId="0" applyFont="1" applyFill="1" applyBorder="1" applyAlignment="1">
      <alignment horizontal="right" wrapText="1"/>
    </xf>
    <xf numFmtId="0" fontId="8" fillId="2" borderId="7" xfId="0" applyFont="1" applyFill="1" applyBorder="1" applyAlignment="1">
      <alignment horizontal="right" wrapText="1"/>
    </xf>
    <xf numFmtId="0" fontId="5" fillId="2" borderId="7" xfId="0" applyFont="1" applyFill="1" applyBorder="1" applyAlignment="1">
      <alignment wrapText="1"/>
    </xf>
    <xf numFmtId="164" fontId="3" fillId="0" borderId="0" xfId="0" applyNumberFormat="1" applyFont="1" applyAlignment="1">
      <alignment horizontal="right" wrapText="1"/>
    </xf>
    <xf numFmtId="164" fontId="5" fillId="2" borderId="7" xfId="0" applyNumberFormat="1" applyFont="1" applyFill="1" applyBorder="1" applyAlignment="1">
      <alignment horizontal="right"/>
    </xf>
    <xf numFmtId="0" fontId="5" fillId="4" borderId="7" xfId="0" applyFont="1" applyFill="1" applyBorder="1" applyAlignment="1">
      <alignment wrapText="1"/>
    </xf>
    <xf numFmtId="0" fontId="3" fillId="4" borderId="7" xfId="0" applyFont="1" applyFill="1" applyBorder="1" applyAlignment="1">
      <alignment horizontal="right" wrapText="1"/>
    </xf>
    <xf numFmtId="0" fontId="3" fillId="0" borderId="8" xfId="0" applyFont="1" applyBorder="1" applyAlignment="1">
      <alignment horizontal="right" wrapText="1"/>
    </xf>
    <xf numFmtId="0" fontId="3" fillId="2" borderId="7" xfId="0" applyFont="1" applyFill="1" applyBorder="1" applyAlignment="1">
      <alignment horizontal="right" wrapText="1"/>
    </xf>
    <xf numFmtId="0" fontId="5" fillId="0" borderId="0" xfId="0" applyFont="1" applyAlignment="1">
      <alignment horizontal="right" wrapText="1"/>
    </xf>
    <xf numFmtId="9" fontId="5" fillId="0" borderId="0" xfId="0" applyNumberFormat="1" applyFont="1" applyAlignment="1">
      <alignment horizontal="right" wrapText="1"/>
    </xf>
    <xf numFmtId="0" fontId="5" fillId="0" borderId="10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right" wrapText="1"/>
    </xf>
    <xf numFmtId="0" fontId="3" fillId="0" borderId="11" xfId="0" applyFont="1" applyBorder="1" applyAlignment="1">
      <alignment horizontal="right"/>
    </xf>
    <xf numFmtId="0" fontId="5" fillId="0" borderId="1" xfId="0" applyFont="1" applyBorder="1"/>
    <xf numFmtId="164" fontId="5" fillId="2" borderId="12" xfId="0" applyNumberFormat="1" applyFont="1" applyFill="1" applyBorder="1" applyAlignment="1">
      <alignment horizontal="right"/>
    </xf>
    <xf numFmtId="164" fontId="3" fillId="0" borderId="0" xfId="0" applyNumberFormat="1" applyFont="1" applyAlignment="1">
      <alignment horizontal="right"/>
    </xf>
    <xf numFmtId="0" fontId="5" fillId="2" borderId="7" xfId="0" applyFont="1" applyFill="1" applyBorder="1"/>
    <xf numFmtId="0" fontId="9" fillId="0" borderId="0" xfId="0" quotePrefix="1" applyFont="1"/>
    <xf numFmtId="0" fontId="8" fillId="2" borderId="7" xfId="0" quotePrefix="1" applyFont="1" applyFill="1" applyBorder="1" applyAlignment="1">
      <alignment horizontal="right" wrapText="1"/>
    </xf>
    <xf numFmtId="0" fontId="1" fillId="2" borderId="1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3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3" fillId="0" borderId="0" xfId="0" applyFont="1" applyAlignment="1">
      <alignment wrapText="1"/>
    </xf>
    <xf numFmtId="0" fontId="0" fillId="0" borderId="0" xfId="0"/>
    <xf numFmtId="0" fontId="4" fillId="0" borderId="8" xfId="0" applyFont="1" applyBorder="1" applyAlignment="1">
      <alignment horizontal="left" vertical="top" wrapText="1"/>
    </xf>
    <xf numFmtId="0" fontId="2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1000"/>
  <sheetViews>
    <sheetView tabSelected="1" topLeftCell="A4" zoomScale="70" zoomScaleNormal="70" workbookViewId="0">
      <selection activeCell="J33" sqref="J33"/>
    </sheetView>
  </sheetViews>
  <sheetFormatPr defaultColWidth="14.44140625" defaultRowHeight="15" customHeight="1" x14ac:dyDescent="0.3"/>
  <cols>
    <col min="1" max="2" width="2.6640625" customWidth="1"/>
    <col min="3" max="3" width="46" customWidth="1"/>
    <col min="4" max="4" width="8.6640625" customWidth="1"/>
    <col min="5" max="5" width="14.5546875" customWidth="1"/>
    <col min="6" max="6" width="8.6640625" customWidth="1"/>
    <col min="7" max="8" width="3.5546875" customWidth="1"/>
    <col min="9" max="9" width="15.6640625" customWidth="1"/>
    <col min="10" max="13" width="13.88671875" customWidth="1"/>
    <col min="14" max="14" width="16.44140625" customWidth="1"/>
    <col min="15" max="15" width="13.6640625" customWidth="1"/>
    <col min="16" max="17" width="16.44140625" customWidth="1"/>
    <col min="18" max="18" width="8.6640625" customWidth="1"/>
    <col min="19" max="20" width="5.109375" customWidth="1"/>
    <col min="21" max="21" width="13.33203125" customWidth="1"/>
    <col min="22" max="26" width="13.109375" customWidth="1"/>
    <col min="27" max="27" width="11.44140625" customWidth="1"/>
    <col min="28" max="29" width="8.6640625" customWidth="1"/>
  </cols>
  <sheetData>
    <row r="1" spans="2:27" ht="14.25" customHeight="1" x14ac:dyDescent="0.3"/>
    <row r="2" spans="2:27" ht="14.25" customHeight="1" x14ac:dyDescent="0.3">
      <c r="C2" s="1" t="s">
        <v>0</v>
      </c>
      <c r="D2" s="46" t="s">
        <v>58</v>
      </c>
      <c r="E2" s="47"/>
      <c r="F2" s="48"/>
      <c r="I2" s="2" t="s">
        <v>1</v>
      </c>
      <c r="L2" s="1" t="s">
        <v>60</v>
      </c>
    </row>
    <row r="3" spans="2:27" ht="14.25" customHeight="1" x14ac:dyDescent="0.3">
      <c r="C3" s="1" t="s">
        <v>2</v>
      </c>
      <c r="D3" s="46" t="s">
        <v>59</v>
      </c>
      <c r="E3" s="47"/>
      <c r="F3" s="48"/>
      <c r="I3" s="2" t="s">
        <v>3</v>
      </c>
      <c r="L3" s="1" t="s">
        <v>61</v>
      </c>
    </row>
    <row r="4" spans="2:27" ht="14.25" customHeight="1" x14ac:dyDescent="0.3">
      <c r="C4" s="3" t="s">
        <v>4</v>
      </c>
    </row>
    <row r="5" spans="2:27" ht="14.25" customHeight="1" x14ac:dyDescent="0.3">
      <c r="B5" s="4"/>
      <c r="C5" s="5"/>
      <c r="D5" s="5"/>
      <c r="E5" s="5"/>
      <c r="F5" s="6"/>
      <c r="H5" s="4"/>
      <c r="I5" s="5"/>
      <c r="J5" s="5"/>
      <c r="K5" s="5"/>
      <c r="L5" s="5"/>
      <c r="M5" s="5"/>
      <c r="N5" s="5"/>
      <c r="O5" s="5"/>
      <c r="P5" s="5"/>
      <c r="Q5" s="5"/>
      <c r="R5" s="6"/>
      <c r="T5" s="49" t="s">
        <v>5</v>
      </c>
      <c r="U5" s="50"/>
      <c r="V5" s="50"/>
      <c r="W5" s="50"/>
      <c r="X5" s="50"/>
      <c r="Y5" s="50"/>
      <c r="Z5" s="50"/>
      <c r="AA5" s="51"/>
    </row>
    <row r="6" spans="2:27" ht="14.25" customHeight="1" x14ac:dyDescent="0.3">
      <c r="B6" s="7"/>
      <c r="C6" s="8" t="s">
        <v>6</v>
      </c>
      <c r="E6" s="9">
        <v>2130.2600000000002</v>
      </c>
      <c r="F6" s="10"/>
      <c r="H6" s="11"/>
      <c r="R6" s="12"/>
      <c r="T6" s="11"/>
      <c r="AA6" s="12"/>
    </row>
    <row r="7" spans="2:27" ht="14.25" customHeight="1" x14ac:dyDescent="0.3">
      <c r="B7" s="7"/>
      <c r="F7" s="10"/>
      <c r="H7" s="7"/>
      <c r="I7" s="1" t="s">
        <v>7</v>
      </c>
      <c r="O7" s="13"/>
      <c r="P7" s="13"/>
      <c r="Q7" s="14">
        <v>0.05</v>
      </c>
      <c r="R7" s="10"/>
      <c r="T7" s="7"/>
      <c r="U7" s="1" t="s">
        <v>8</v>
      </c>
      <c r="Z7" s="14">
        <v>0.05</v>
      </c>
      <c r="AA7" s="12"/>
    </row>
    <row r="8" spans="2:27" ht="14.25" customHeight="1" x14ac:dyDescent="0.3">
      <c r="B8" s="7"/>
      <c r="C8" s="8" t="s">
        <v>9</v>
      </c>
      <c r="F8" s="10"/>
      <c r="H8" s="7"/>
      <c r="I8" s="15"/>
      <c r="J8" s="52" t="s">
        <v>10</v>
      </c>
      <c r="K8" s="53"/>
      <c r="L8" s="53"/>
      <c r="M8" s="53"/>
      <c r="N8" s="53"/>
      <c r="O8" s="53"/>
      <c r="P8" s="53"/>
      <c r="Q8" s="53"/>
      <c r="R8" s="17"/>
      <c r="T8" s="7"/>
      <c r="U8" s="1" t="s">
        <v>11</v>
      </c>
      <c r="Z8" s="18" t="s">
        <v>60</v>
      </c>
      <c r="AA8" s="12"/>
    </row>
    <row r="9" spans="2:27" ht="14.25" customHeight="1" x14ac:dyDescent="0.3">
      <c r="B9" s="7"/>
      <c r="C9" s="19" t="s">
        <v>12</v>
      </c>
      <c r="E9" s="9">
        <v>0</v>
      </c>
      <c r="F9" s="10"/>
      <c r="H9" s="7"/>
      <c r="I9" s="20">
        <v>2025</v>
      </c>
      <c r="J9" s="21" t="s">
        <v>13</v>
      </c>
      <c r="K9" s="21" t="s">
        <v>14</v>
      </c>
      <c r="L9" s="21" t="s">
        <v>15</v>
      </c>
      <c r="M9" s="21" t="s">
        <v>16</v>
      </c>
      <c r="N9" s="21" t="s">
        <v>17</v>
      </c>
      <c r="O9" s="21" t="s">
        <v>18</v>
      </c>
      <c r="P9" s="21" t="s">
        <v>19</v>
      </c>
      <c r="Q9" s="21" t="s">
        <v>20</v>
      </c>
      <c r="R9" s="22"/>
      <c r="T9" s="7"/>
      <c r="U9" s="20">
        <v>2025</v>
      </c>
      <c r="V9" s="21" t="s">
        <v>21</v>
      </c>
      <c r="W9" s="21" t="s">
        <v>22</v>
      </c>
      <c r="X9" s="21" t="s">
        <v>16</v>
      </c>
      <c r="Y9" s="23" t="s">
        <v>23</v>
      </c>
      <c r="Z9" s="23" t="s">
        <v>24</v>
      </c>
      <c r="AA9" s="54" t="s">
        <v>25</v>
      </c>
    </row>
    <row r="10" spans="2:27" ht="14.25" customHeight="1" x14ac:dyDescent="0.3">
      <c r="B10" s="7"/>
      <c r="C10" s="19" t="s">
        <v>26</v>
      </c>
      <c r="E10" s="9">
        <v>0</v>
      </c>
      <c r="F10" s="10"/>
      <c r="H10" s="7"/>
      <c r="I10" s="15" t="s">
        <v>27</v>
      </c>
      <c r="J10" s="24"/>
      <c r="K10" s="24"/>
      <c r="L10" s="25"/>
      <c r="M10" s="25"/>
      <c r="N10" s="25"/>
      <c r="O10" s="26"/>
      <c r="P10" s="26"/>
      <c r="Q10" s="26"/>
      <c r="R10" s="17"/>
      <c r="T10" s="7"/>
      <c r="U10" s="15" t="s">
        <v>27</v>
      </c>
      <c r="V10" s="24" t="s">
        <v>60</v>
      </c>
      <c r="W10" s="24" t="s">
        <v>60</v>
      </c>
      <c r="X10" s="25">
        <v>227.67</v>
      </c>
      <c r="Y10" s="26" t="s">
        <v>60</v>
      </c>
      <c r="Z10" s="26" t="s">
        <v>60</v>
      </c>
      <c r="AA10" s="55"/>
    </row>
    <row r="11" spans="2:27" ht="14.25" customHeight="1" x14ac:dyDescent="0.3">
      <c r="B11" s="7"/>
      <c r="C11" s="19" t="s">
        <v>28</v>
      </c>
      <c r="E11" s="9">
        <v>0</v>
      </c>
      <c r="F11" s="10"/>
      <c r="H11" s="7"/>
      <c r="I11" s="15" t="s">
        <v>29</v>
      </c>
      <c r="J11" s="24"/>
      <c r="K11" s="27"/>
      <c r="L11" s="25"/>
      <c r="M11" s="25"/>
      <c r="N11" s="25"/>
      <c r="O11" s="26"/>
      <c r="P11" s="26"/>
      <c r="Q11" s="26"/>
      <c r="R11" s="17"/>
      <c r="T11" s="7"/>
      <c r="U11" s="15" t="s">
        <v>29</v>
      </c>
      <c r="V11" s="24" t="s">
        <v>60</v>
      </c>
      <c r="W11" s="24" t="s">
        <v>60</v>
      </c>
      <c r="X11" s="25">
        <v>227.67</v>
      </c>
      <c r="Y11" s="26" t="s">
        <v>60</v>
      </c>
      <c r="Z11" s="26" t="s">
        <v>60</v>
      </c>
      <c r="AA11" s="55"/>
    </row>
    <row r="12" spans="2:27" ht="14.25" customHeight="1" x14ac:dyDescent="0.3">
      <c r="B12" s="7"/>
      <c r="C12" s="19" t="s">
        <v>16</v>
      </c>
      <c r="E12" s="9">
        <v>0</v>
      </c>
      <c r="F12" s="10"/>
      <c r="H12" s="7"/>
      <c r="I12" s="15" t="s">
        <v>30</v>
      </c>
      <c r="J12" s="24"/>
      <c r="K12" s="24"/>
      <c r="L12" s="25"/>
      <c r="M12" s="25"/>
      <c r="N12" s="25"/>
      <c r="O12" s="26"/>
      <c r="P12" s="26"/>
      <c r="Q12" s="26"/>
      <c r="R12" s="17"/>
      <c r="T12" s="7"/>
      <c r="U12" s="15" t="s">
        <v>30</v>
      </c>
      <c r="V12" s="24" t="s">
        <v>60</v>
      </c>
      <c r="W12" s="24" t="s">
        <v>60</v>
      </c>
      <c r="X12" s="25">
        <v>227.67</v>
      </c>
      <c r="Y12" s="26" t="s">
        <v>60</v>
      </c>
      <c r="Z12" s="26" t="s">
        <v>60</v>
      </c>
      <c r="AA12" s="10"/>
    </row>
    <row r="13" spans="2:27" ht="14.25" customHeight="1" x14ac:dyDescent="0.3">
      <c r="B13" s="7"/>
      <c r="C13" s="19" t="s">
        <v>31</v>
      </c>
      <c r="E13" s="9">
        <v>0</v>
      </c>
      <c r="F13" s="10"/>
      <c r="H13" s="7"/>
      <c r="I13" s="15" t="s">
        <v>32</v>
      </c>
      <c r="J13" s="24"/>
      <c r="K13" s="27"/>
      <c r="L13" s="25"/>
      <c r="M13" s="25"/>
      <c r="N13" s="25"/>
      <c r="O13" s="26"/>
      <c r="P13" s="26"/>
      <c r="Q13" s="26"/>
      <c r="R13" s="17"/>
      <c r="T13" s="7"/>
      <c r="U13" s="15" t="s">
        <v>32</v>
      </c>
      <c r="V13" s="24" t="s">
        <v>60</v>
      </c>
      <c r="W13" s="24" t="s">
        <v>60</v>
      </c>
      <c r="X13" s="25">
        <v>227.67</v>
      </c>
      <c r="Y13" s="26" t="s">
        <v>60</v>
      </c>
      <c r="Z13" s="26" t="s">
        <v>60</v>
      </c>
      <c r="AA13" s="10"/>
    </row>
    <row r="14" spans="2:27" ht="14.25" customHeight="1" x14ac:dyDescent="0.3">
      <c r="B14" s="7"/>
      <c r="C14" s="19" t="s">
        <v>33</v>
      </c>
      <c r="E14" s="9">
        <v>0</v>
      </c>
      <c r="F14" s="10"/>
      <c r="H14" s="7"/>
      <c r="I14" s="15" t="s">
        <v>34</v>
      </c>
      <c r="J14" s="24"/>
      <c r="K14" s="24"/>
      <c r="L14" s="25"/>
      <c r="M14" s="25"/>
      <c r="N14" s="25"/>
      <c r="O14" s="26"/>
      <c r="P14" s="26"/>
      <c r="Q14" s="26"/>
      <c r="R14" s="17"/>
      <c r="T14" s="7"/>
      <c r="U14" s="15" t="s">
        <v>34</v>
      </c>
      <c r="V14" s="24">
        <v>199.46</v>
      </c>
      <c r="W14" s="24" t="s">
        <v>60</v>
      </c>
      <c r="X14" s="25">
        <v>227.67</v>
      </c>
      <c r="Y14" s="26" t="s">
        <v>60</v>
      </c>
      <c r="Z14" s="26" t="s">
        <v>60</v>
      </c>
      <c r="AA14" s="10"/>
    </row>
    <row r="15" spans="2:27" ht="14.25" customHeight="1" x14ac:dyDescent="0.3">
      <c r="B15" s="7"/>
      <c r="C15" s="19" t="s">
        <v>35</v>
      </c>
      <c r="E15" s="9">
        <v>0</v>
      </c>
      <c r="F15" s="10"/>
      <c r="H15" s="7"/>
      <c r="I15" s="15" t="s">
        <v>36</v>
      </c>
      <c r="J15" s="24"/>
      <c r="K15" s="27"/>
      <c r="L15" s="25"/>
      <c r="M15" s="25"/>
      <c r="N15" s="25"/>
      <c r="O15" s="26"/>
      <c r="P15" s="26"/>
      <c r="Q15" s="26"/>
      <c r="R15" s="17"/>
      <c r="T15" s="7"/>
      <c r="U15" s="15" t="s">
        <v>36</v>
      </c>
      <c r="V15" s="24">
        <v>181.02</v>
      </c>
      <c r="W15" s="24" t="s">
        <v>60</v>
      </c>
      <c r="X15" s="25">
        <v>227.67</v>
      </c>
      <c r="Y15" s="45" t="s">
        <v>60</v>
      </c>
      <c r="Z15" s="26" t="s">
        <v>60</v>
      </c>
      <c r="AA15" s="10"/>
    </row>
    <row r="16" spans="2:27" ht="14.25" customHeight="1" x14ac:dyDescent="0.3">
      <c r="B16" s="7"/>
      <c r="C16" s="19" t="s">
        <v>37</v>
      </c>
      <c r="E16" s="9">
        <v>0</v>
      </c>
      <c r="F16" s="10"/>
      <c r="H16" s="7"/>
      <c r="I16" s="15" t="s">
        <v>38</v>
      </c>
      <c r="J16" s="24"/>
      <c r="K16" s="24"/>
      <c r="L16" s="25"/>
      <c r="M16" s="25"/>
      <c r="N16" s="25"/>
      <c r="O16" s="26"/>
      <c r="P16" s="26"/>
      <c r="Q16" s="26"/>
      <c r="R16" s="17"/>
      <c r="T16" s="7"/>
      <c r="U16" s="15" t="s">
        <v>38</v>
      </c>
      <c r="V16" s="24">
        <v>217.54</v>
      </c>
      <c r="W16" s="24" t="s">
        <v>60</v>
      </c>
      <c r="X16" s="25">
        <v>227.67</v>
      </c>
      <c r="Y16" s="26" t="s">
        <v>60</v>
      </c>
      <c r="Z16" s="26" t="s">
        <v>60</v>
      </c>
      <c r="AA16" s="10"/>
    </row>
    <row r="17" spans="2:27" ht="14.25" customHeight="1" x14ac:dyDescent="0.3">
      <c r="B17" s="7"/>
      <c r="C17" s="19" t="s">
        <v>39</v>
      </c>
      <c r="E17" s="9">
        <v>0</v>
      </c>
      <c r="F17" s="10"/>
      <c r="H17" s="7"/>
      <c r="I17" s="15" t="s">
        <v>40</v>
      </c>
      <c r="J17" s="24"/>
      <c r="K17" s="27"/>
      <c r="L17" s="25"/>
      <c r="M17" s="25"/>
      <c r="N17" s="25"/>
      <c r="O17" s="26"/>
      <c r="P17" s="26"/>
      <c r="Q17" s="26"/>
      <c r="R17" s="17"/>
      <c r="T17" s="7"/>
      <c r="U17" s="15" t="s">
        <v>40</v>
      </c>
      <c r="V17" s="24">
        <v>260.89</v>
      </c>
      <c r="W17" s="24" t="s">
        <v>60</v>
      </c>
      <c r="X17" s="25">
        <v>227.67</v>
      </c>
      <c r="Y17" s="26" t="s">
        <v>60</v>
      </c>
      <c r="Z17" s="26" t="s">
        <v>60</v>
      </c>
      <c r="AA17" s="10"/>
    </row>
    <row r="18" spans="2:27" ht="14.25" customHeight="1" x14ac:dyDescent="0.3">
      <c r="B18" s="7"/>
      <c r="C18" s="19" t="s">
        <v>41</v>
      </c>
      <c r="E18" s="9">
        <v>0</v>
      </c>
      <c r="F18" s="10"/>
      <c r="H18" s="7"/>
      <c r="I18" s="15" t="s">
        <v>42</v>
      </c>
      <c r="J18" s="24"/>
      <c r="K18" s="24"/>
      <c r="L18" s="25"/>
      <c r="M18" s="25"/>
      <c r="N18" s="25"/>
      <c r="O18" s="26"/>
      <c r="P18" s="26"/>
      <c r="Q18" s="26"/>
      <c r="R18" s="17"/>
      <c r="T18" s="7"/>
      <c r="U18" s="15" t="s">
        <v>42</v>
      </c>
      <c r="V18" s="24">
        <v>135.91999999999999</v>
      </c>
      <c r="W18" s="24" t="s">
        <v>60</v>
      </c>
      <c r="X18" s="25">
        <v>227.67</v>
      </c>
      <c r="Y18" s="26" t="s">
        <v>60</v>
      </c>
      <c r="Z18" s="26" t="s">
        <v>60</v>
      </c>
      <c r="AA18" s="10"/>
    </row>
    <row r="19" spans="2:27" ht="14.25" customHeight="1" x14ac:dyDescent="0.3">
      <c r="B19" s="7"/>
      <c r="C19" s="19" t="s">
        <v>13</v>
      </c>
      <c r="E19" s="9">
        <v>0</v>
      </c>
      <c r="F19" s="10"/>
      <c r="H19" s="7"/>
      <c r="I19" s="15" t="s">
        <v>43</v>
      </c>
      <c r="J19" s="24"/>
      <c r="K19" s="27"/>
      <c r="L19" s="25"/>
      <c r="M19" s="25"/>
      <c r="N19" s="25"/>
      <c r="O19" s="26"/>
      <c r="P19" s="26"/>
      <c r="Q19" s="26"/>
      <c r="R19" s="17"/>
      <c r="T19" s="7"/>
      <c r="U19" s="15" t="s">
        <v>43</v>
      </c>
      <c r="V19" s="24">
        <v>229.65</v>
      </c>
      <c r="W19" s="24" t="s">
        <v>60</v>
      </c>
      <c r="X19" s="25">
        <v>227.67</v>
      </c>
      <c r="Y19" s="26" t="s">
        <v>60</v>
      </c>
      <c r="Z19" s="26" t="s">
        <v>60</v>
      </c>
      <c r="AA19" s="10"/>
    </row>
    <row r="20" spans="2:27" ht="14.25" customHeight="1" x14ac:dyDescent="0.3">
      <c r="B20" s="7"/>
      <c r="C20" s="19" t="s">
        <v>44</v>
      </c>
      <c r="E20" s="9">
        <v>0</v>
      </c>
      <c r="F20" s="10"/>
      <c r="H20" s="7"/>
      <c r="I20" s="15" t="s">
        <v>45</v>
      </c>
      <c r="J20" s="24"/>
      <c r="K20" s="24"/>
      <c r="L20" s="25"/>
      <c r="M20" s="25"/>
      <c r="N20" s="25"/>
      <c r="O20" s="26"/>
      <c r="P20" s="26"/>
      <c r="Q20" s="26"/>
      <c r="R20" s="17"/>
      <c r="T20" s="7"/>
      <c r="U20" s="15" t="s">
        <v>45</v>
      </c>
      <c r="V20" s="24">
        <v>232.9</v>
      </c>
      <c r="W20" s="24" t="s">
        <v>60</v>
      </c>
      <c r="X20" s="25">
        <v>227.67</v>
      </c>
      <c r="Y20" s="26" t="s">
        <v>60</v>
      </c>
      <c r="Z20" s="26" t="s">
        <v>60</v>
      </c>
      <c r="AA20" s="10"/>
    </row>
    <row r="21" spans="2:27" ht="14.25" customHeight="1" x14ac:dyDescent="0.3">
      <c r="B21" s="7"/>
      <c r="C21" s="19" t="s">
        <v>46</v>
      </c>
      <c r="E21" s="9">
        <v>0</v>
      </c>
      <c r="F21" s="10"/>
      <c r="H21" s="7"/>
      <c r="I21" s="15" t="s">
        <v>47</v>
      </c>
      <c r="J21" s="24"/>
      <c r="K21" s="27"/>
      <c r="L21" s="25"/>
      <c r="M21" s="25"/>
      <c r="N21" s="25"/>
      <c r="O21" s="26"/>
      <c r="P21" s="26"/>
      <c r="Q21" s="26"/>
      <c r="R21" s="17"/>
      <c r="T21" s="7"/>
      <c r="U21" s="15" t="s">
        <v>47</v>
      </c>
      <c r="V21" s="24">
        <v>297.51</v>
      </c>
      <c r="W21" s="24" t="s">
        <v>60</v>
      </c>
      <c r="X21" s="25">
        <v>227.67</v>
      </c>
      <c r="Y21" s="26" t="s">
        <v>60</v>
      </c>
      <c r="Z21" s="26" t="s">
        <v>60</v>
      </c>
      <c r="AA21" s="10"/>
    </row>
    <row r="22" spans="2:27" ht="14.25" customHeight="1" x14ac:dyDescent="0.3">
      <c r="B22" s="7"/>
      <c r="C22" s="19" t="s">
        <v>48</v>
      </c>
      <c r="E22" s="9">
        <v>0</v>
      </c>
      <c r="F22" s="10"/>
      <c r="H22" s="7"/>
      <c r="I22" s="16" t="s">
        <v>49</v>
      </c>
      <c r="J22" s="28">
        <f t="shared" ref="J22:Q22" si="0">SUM(J10:J21)</f>
        <v>0</v>
      </c>
      <c r="K22" s="28">
        <f t="shared" si="0"/>
        <v>0</v>
      </c>
      <c r="L22" s="28">
        <f t="shared" si="0"/>
        <v>0</v>
      </c>
      <c r="M22" s="28">
        <f t="shared" si="0"/>
        <v>0</v>
      </c>
      <c r="N22" s="28">
        <f t="shared" si="0"/>
        <v>0</v>
      </c>
      <c r="O22" s="28">
        <f t="shared" si="0"/>
        <v>0</v>
      </c>
      <c r="P22" s="28">
        <f t="shared" si="0"/>
        <v>0</v>
      </c>
      <c r="Q22" s="28">
        <f t="shared" si="0"/>
        <v>0</v>
      </c>
      <c r="R22" s="17"/>
      <c r="T22" s="7"/>
      <c r="U22" s="16" t="s">
        <v>49</v>
      </c>
      <c r="V22" s="28">
        <f t="shared" ref="V22:Z22" si="1">SUM(V10:V21)</f>
        <v>1754.89</v>
      </c>
      <c r="W22" s="28">
        <f t="shared" si="1"/>
        <v>0</v>
      </c>
      <c r="X22" s="28">
        <f t="shared" si="1"/>
        <v>2732.0400000000004</v>
      </c>
      <c r="Y22" s="28">
        <f t="shared" si="1"/>
        <v>0</v>
      </c>
      <c r="Z22" s="28">
        <f t="shared" si="1"/>
        <v>0</v>
      </c>
      <c r="AA22" s="10"/>
    </row>
    <row r="23" spans="2:27" ht="15" customHeight="1" x14ac:dyDescent="0.3">
      <c r="B23" s="7"/>
      <c r="C23" s="19" t="s">
        <v>50</v>
      </c>
      <c r="D23" s="19"/>
      <c r="E23" s="29">
        <v>0</v>
      </c>
      <c r="F23" s="10"/>
      <c r="H23" s="7"/>
      <c r="I23" s="15"/>
      <c r="J23" s="15"/>
      <c r="K23" s="15"/>
      <c r="L23" s="15"/>
      <c r="M23" s="15"/>
      <c r="N23" s="15"/>
      <c r="O23" s="15"/>
      <c r="P23" s="15"/>
      <c r="Q23" s="15"/>
      <c r="R23" s="17"/>
      <c r="T23" s="7"/>
      <c r="U23" s="15"/>
      <c r="V23" s="15"/>
      <c r="W23" s="15"/>
      <c r="X23" s="15"/>
      <c r="Y23" s="15"/>
      <c r="AA23" s="10"/>
    </row>
    <row r="24" spans="2:27" ht="14.25" customHeight="1" x14ac:dyDescent="0.3">
      <c r="B24" s="7"/>
      <c r="C24" s="2" t="s">
        <v>51</v>
      </c>
      <c r="D24" s="19"/>
      <c r="E24" s="19"/>
      <c r="F24" s="10"/>
      <c r="H24" s="7"/>
      <c r="I24" s="30" t="s">
        <v>52</v>
      </c>
      <c r="J24" s="31">
        <f t="shared" ref="J24:Q24" si="2">J22*$Q$7</f>
        <v>0</v>
      </c>
      <c r="K24" s="31">
        <f t="shared" si="2"/>
        <v>0</v>
      </c>
      <c r="L24" s="31">
        <f t="shared" si="2"/>
        <v>0</v>
      </c>
      <c r="M24" s="31">
        <f t="shared" si="2"/>
        <v>0</v>
      </c>
      <c r="N24" s="31">
        <f t="shared" si="2"/>
        <v>0</v>
      </c>
      <c r="O24" s="31">
        <f t="shared" si="2"/>
        <v>0</v>
      </c>
      <c r="P24" s="31">
        <f t="shared" si="2"/>
        <v>0</v>
      </c>
      <c r="Q24" s="31">
        <f t="shared" si="2"/>
        <v>0</v>
      </c>
      <c r="R24" s="32"/>
      <c r="T24" s="7"/>
      <c r="U24" s="27" t="s">
        <v>53</v>
      </c>
      <c r="V24" s="33">
        <f t="shared" ref="V24:Z24" si="3">V22*$Z$7</f>
        <v>87.744500000000016</v>
      </c>
      <c r="W24" s="33">
        <f t="shared" si="3"/>
        <v>0</v>
      </c>
      <c r="X24" s="33">
        <f t="shared" si="3"/>
        <v>136.60200000000003</v>
      </c>
      <c r="Y24" s="33">
        <f t="shared" si="3"/>
        <v>0</v>
      </c>
      <c r="Z24" s="33">
        <f t="shared" si="3"/>
        <v>0</v>
      </c>
      <c r="AA24" s="10"/>
    </row>
    <row r="25" spans="2:27" ht="14.25" customHeight="1" x14ac:dyDescent="0.3">
      <c r="B25" s="7"/>
      <c r="C25" s="19" t="s">
        <v>62</v>
      </c>
      <c r="D25" s="19"/>
      <c r="E25" s="29">
        <v>577.28</v>
      </c>
      <c r="F25" s="10"/>
      <c r="H25" s="7"/>
      <c r="I25" s="15"/>
      <c r="J25" s="15"/>
      <c r="K25" s="34"/>
      <c r="L25" s="35"/>
      <c r="M25" s="35"/>
      <c r="N25" s="35"/>
      <c r="O25" s="15"/>
      <c r="P25" s="15"/>
      <c r="Q25" s="15"/>
      <c r="R25" s="17"/>
      <c r="T25" s="7"/>
      <c r="AA25" s="10"/>
    </row>
    <row r="26" spans="2:27" ht="14.25" customHeight="1" x14ac:dyDescent="0.3">
      <c r="B26" s="7"/>
      <c r="C26" s="19"/>
      <c r="D26" s="19"/>
      <c r="E26" s="29">
        <v>0</v>
      </c>
      <c r="F26" s="10"/>
      <c r="H26" s="36"/>
      <c r="I26" s="37"/>
      <c r="J26" s="37"/>
      <c r="K26" s="38"/>
      <c r="L26" s="37"/>
      <c r="M26" s="37"/>
      <c r="N26" s="37"/>
      <c r="O26" s="37"/>
      <c r="P26" s="37"/>
      <c r="Q26" s="37"/>
      <c r="R26" s="39" t="s">
        <v>54</v>
      </c>
      <c r="T26" s="36"/>
      <c r="U26" s="40"/>
      <c r="V26" s="40"/>
      <c r="W26" s="40"/>
      <c r="X26" s="40"/>
      <c r="Y26" s="40"/>
      <c r="Z26" s="40"/>
      <c r="AA26" s="39" t="s">
        <v>55</v>
      </c>
    </row>
    <row r="27" spans="2:27" ht="14.25" customHeight="1" x14ac:dyDescent="0.3">
      <c r="B27" s="7"/>
      <c r="C27" s="19"/>
      <c r="D27" s="19"/>
      <c r="E27" s="29">
        <v>0</v>
      </c>
      <c r="F27" s="10"/>
    </row>
    <row r="28" spans="2:27" ht="14.25" customHeight="1" x14ac:dyDescent="0.3">
      <c r="B28" s="7"/>
      <c r="C28" s="19"/>
      <c r="D28" s="19"/>
      <c r="E28" s="41">
        <v>0</v>
      </c>
      <c r="F28" s="10"/>
    </row>
    <row r="29" spans="2:27" ht="14.25" customHeight="1" x14ac:dyDescent="0.3">
      <c r="B29" s="7"/>
      <c r="C29" s="19"/>
      <c r="D29" s="2" t="s">
        <v>49</v>
      </c>
      <c r="E29" s="42">
        <v>0</v>
      </c>
      <c r="F29" s="10"/>
    </row>
    <row r="30" spans="2:27" ht="14.25" customHeight="1" x14ac:dyDescent="0.3">
      <c r="B30" s="7"/>
      <c r="C30" s="19"/>
      <c r="D30" s="19"/>
      <c r="E30" s="19"/>
      <c r="F30" s="10"/>
    </row>
    <row r="31" spans="2:27" ht="14.25" customHeight="1" x14ac:dyDescent="0.3">
      <c r="B31" s="36"/>
      <c r="C31" s="40"/>
      <c r="D31" s="40"/>
      <c r="E31" s="40"/>
      <c r="F31" s="39" t="s">
        <v>56</v>
      </c>
    </row>
    <row r="32" spans="2:27" ht="14.25" customHeight="1" x14ac:dyDescent="0.3">
      <c r="B32" s="19"/>
      <c r="C32" s="19"/>
      <c r="D32" s="19"/>
      <c r="E32" s="19"/>
      <c r="F32" s="19"/>
    </row>
    <row r="33" spans="2:26" ht="14.25" customHeight="1" x14ac:dyDescent="0.3">
      <c r="B33" s="19"/>
      <c r="C33" s="43"/>
      <c r="D33" s="44" t="s">
        <v>57</v>
      </c>
      <c r="E33" s="19"/>
      <c r="F33" s="19"/>
      <c r="Q33" s="1"/>
      <c r="Z33" s="1"/>
    </row>
    <row r="34" spans="2:26" ht="14.25" customHeight="1" x14ac:dyDescent="0.3"/>
    <row r="35" spans="2:26" ht="14.25" customHeight="1" x14ac:dyDescent="0.3"/>
    <row r="36" spans="2:26" ht="14.25" customHeight="1" x14ac:dyDescent="0.3">
      <c r="I36">
        <v>51.25</v>
      </c>
    </row>
    <row r="37" spans="2:26" ht="14.25" customHeight="1" x14ac:dyDescent="0.3">
      <c r="I37">
        <v>51.27</v>
      </c>
    </row>
    <row r="38" spans="2:26" ht="14.25" customHeight="1" x14ac:dyDescent="0.3">
      <c r="I38">
        <v>51.29</v>
      </c>
    </row>
    <row r="39" spans="2:26" ht="14.25" customHeight="1" x14ac:dyDescent="0.3">
      <c r="I39">
        <v>51.31</v>
      </c>
    </row>
    <row r="40" spans="2:26" ht="14.25" customHeight="1" x14ac:dyDescent="0.3">
      <c r="I40">
        <v>55.22</v>
      </c>
    </row>
    <row r="41" spans="2:26" ht="14.25" customHeight="1" x14ac:dyDescent="0.3">
      <c r="I41">
        <v>51.96</v>
      </c>
    </row>
    <row r="42" spans="2:26" ht="14.25" customHeight="1" x14ac:dyDescent="0.3">
      <c r="I42">
        <v>46.98</v>
      </c>
    </row>
    <row r="43" spans="2:26" ht="14.25" customHeight="1" x14ac:dyDescent="0.3">
      <c r="I43">
        <v>40</v>
      </c>
    </row>
    <row r="44" spans="2:26" ht="14.25" customHeight="1" x14ac:dyDescent="0.3">
      <c r="I44">
        <v>44.8</v>
      </c>
    </row>
    <row r="45" spans="2:26" ht="14.25" customHeight="1" x14ac:dyDescent="0.3">
      <c r="I45">
        <v>44.6</v>
      </c>
    </row>
    <row r="46" spans="2:26" ht="14.25" customHeight="1" x14ac:dyDescent="0.3">
      <c r="I46">
        <v>44.4</v>
      </c>
    </row>
    <row r="47" spans="2:26" ht="14.25" customHeight="1" x14ac:dyDescent="0.3">
      <c r="I47">
        <v>44.2</v>
      </c>
    </row>
    <row r="48" spans="2:2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5">
    <mergeCell ref="D2:F2"/>
    <mergeCell ref="D3:F3"/>
    <mergeCell ref="T5:AA5"/>
    <mergeCell ref="J8:Q8"/>
    <mergeCell ref="AA9:AA11"/>
  </mergeCells>
  <phoneticPr fontId="10" type="noConversion"/>
  <pageMargins left="0.7" right="0.7" top="0.75" bottom="0.75" header="0" footer="0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Self-Employed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Bubnova, Maria</dc:creator>
  <cp:lastModifiedBy>Artem Rudman</cp:lastModifiedBy>
  <dcterms:created xsi:type="dcterms:W3CDTF">2025-02-05T21:12:48Z</dcterms:created>
  <dcterms:modified xsi:type="dcterms:W3CDTF">2026-03-28T16:59:11Z</dcterms:modified>
</cp:coreProperties>
</file>